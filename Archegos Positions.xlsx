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to\OneDrive\Documents\Imperial\Thesis\"/>
    </mc:Choice>
  </mc:AlternateContent>
  <xr:revisionPtr revIDLastSave="0" documentId="13_ncr:1_{294F1AE1-B88C-40D8-9D2C-71BC1957E2F0}" xr6:coauthVersionLast="47" xr6:coauthVersionMax="47" xr10:uidLastSave="{00000000-0000-0000-0000-000000000000}"/>
  <bookViews>
    <workbookView xWindow="-120" yWindow="-120" windowWidth="29040" windowHeight="15720" xr2:uid="{982C2A5B-08D7-4A34-9F63-7FD5103DA93B}"/>
  </bookViews>
  <sheets>
    <sheet name="Final Ho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F69" i="1"/>
  <c r="F70" i="1"/>
  <c r="F71" i="1"/>
  <c r="F72" i="1"/>
  <c r="F73" i="1"/>
  <c r="F74" i="1"/>
  <c r="F75" i="1"/>
  <c r="F68" i="1"/>
  <c r="M23" i="1"/>
  <c r="L23" i="1"/>
  <c r="M22" i="1"/>
  <c r="M24" i="1"/>
  <c r="M25" i="1"/>
  <c r="P25" i="1" s="1"/>
  <c r="M26" i="1"/>
  <c r="P26" i="1" s="1"/>
  <c r="M21" i="1"/>
  <c r="O4" i="1"/>
  <c r="P4" i="1"/>
  <c r="Q4" i="1"/>
  <c r="R4" i="1"/>
  <c r="S4" i="1"/>
  <c r="T4" i="1"/>
  <c r="U4" i="1"/>
  <c r="N4" i="1"/>
  <c r="C19" i="1"/>
  <c r="P22" i="1"/>
  <c r="P24" i="1"/>
  <c r="P21" i="1"/>
  <c r="D17" i="1"/>
  <c r="E17" i="1"/>
  <c r="F17" i="1"/>
  <c r="G17" i="1"/>
  <c r="H17" i="1"/>
  <c r="I17" i="1"/>
  <c r="J17" i="1"/>
  <c r="C17" i="1"/>
  <c r="D18" i="1"/>
  <c r="E18" i="1"/>
  <c r="F18" i="1"/>
  <c r="G18" i="1"/>
  <c r="H18" i="1"/>
  <c r="I18" i="1"/>
  <c r="J18" i="1"/>
  <c r="C18" i="1"/>
  <c r="D16" i="1"/>
  <c r="E16" i="1"/>
  <c r="F16" i="1"/>
  <c r="G16" i="1"/>
  <c r="H16" i="1"/>
  <c r="I16" i="1"/>
  <c r="J16" i="1"/>
  <c r="C16" i="1"/>
  <c r="E42" i="1"/>
  <c r="E31" i="1"/>
  <c r="E35" i="1"/>
  <c r="C35" i="1"/>
  <c r="E21" i="1"/>
  <c r="E39" i="1" s="1"/>
  <c r="J11" i="1"/>
  <c r="J21" i="1" s="1"/>
  <c r="J39" i="1" s="1"/>
  <c r="I11" i="1"/>
  <c r="I21" i="1" s="1"/>
  <c r="I39" i="1" s="1"/>
  <c r="H11" i="1"/>
  <c r="H21" i="1" s="1"/>
  <c r="H39" i="1" s="1"/>
  <c r="G11" i="1"/>
  <c r="G21" i="1" s="1"/>
  <c r="G39" i="1" s="1"/>
  <c r="F11" i="1"/>
  <c r="F22" i="1" s="1"/>
  <c r="F40" i="1" s="1"/>
  <c r="E11" i="1"/>
  <c r="E24" i="1" s="1"/>
  <c r="D11" i="1"/>
  <c r="D22" i="1" s="1"/>
  <c r="D40" i="1" s="1"/>
  <c r="C11" i="1"/>
  <c r="C22" i="1" s="1"/>
  <c r="J8" i="1"/>
  <c r="I8" i="1"/>
  <c r="H8" i="1"/>
  <c r="G8" i="1"/>
  <c r="F8" i="1"/>
  <c r="E8" i="1"/>
  <c r="E27" i="1" s="1"/>
  <c r="E45" i="1" s="1"/>
  <c r="D8" i="1"/>
  <c r="C8" i="1"/>
  <c r="C27" i="1" s="1"/>
  <c r="C52" i="1" l="1"/>
  <c r="G55" i="1"/>
  <c r="G56" i="1" s="1"/>
  <c r="C36" i="1"/>
  <c r="H55" i="1"/>
  <c r="H56" i="1" s="1"/>
  <c r="I55" i="1"/>
  <c r="I56" i="1" s="1"/>
  <c r="C34" i="1"/>
  <c r="G35" i="1"/>
  <c r="G30" i="1"/>
  <c r="I33" i="1"/>
  <c r="E33" i="1"/>
  <c r="I31" i="1"/>
  <c r="J55" i="1"/>
  <c r="J56" i="1" s="1"/>
  <c r="F23" i="1"/>
  <c r="F41" i="1" s="1"/>
  <c r="G34" i="1"/>
  <c r="F26" i="1"/>
  <c r="F44" i="1" s="1"/>
  <c r="F35" i="1"/>
  <c r="F25" i="1"/>
  <c r="F43" i="1" s="1"/>
  <c r="F30" i="1"/>
  <c r="E23" i="1"/>
  <c r="E41" i="1" s="1"/>
  <c r="F34" i="1"/>
  <c r="D23" i="1"/>
  <c r="D41" i="1" s="1"/>
  <c r="F21" i="1"/>
  <c r="F39" i="1" s="1"/>
  <c r="G33" i="1"/>
  <c r="C51" i="1"/>
  <c r="E53" i="1"/>
  <c r="G32" i="1"/>
  <c r="D53" i="1"/>
  <c r="F32" i="1"/>
  <c r="F51" i="1"/>
  <c r="E51" i="1"/>
  <c r="F33" i="1"/>
  <c r="F53" i="1"/>
  <c r="D27" i="1"/>
  <c r="D45" i="1" s="1"/>
  <c r="G36" i="1"/>
  <c r="E55" i="1"/>
  <c r="E56" i="1" s="1"/>
  <c r="C23" i="1"/>
  <c r="C41" i="1" s="1"/>
  <c r="F36" i="1"/>
  <c r="G31" i="1"/>
  <c r="F49" i="1"/>
  <c r="F55" i="1"/>
  <c r="F56" i="1" s="1"/>
  <c r="F27" i="1"/>
  <c r="F45" i="1" s="1"/>
  <c r="I35" i="1"/>
  <c r="F31" i="1"/>
  <c r="E49" i="1"/>
  <c r="H33" i="1"/>
  <c r="H36" i="1"/>
  <c r="H30" i="1"/>
  <c r="C45" i="1"/>
  <c r="E25" i="1"/>
  <c r="E43" i="1" s="1"/>
  <c r="E36" i="1"/>
  <c r="E34" i="1"/>
  <c r="E32" i="1"/>
  <c r="E30" i="1"/>
  <c r="C49" i="1"/>
  <c r="I53" i="1"/>
  <c r="I51" i="1"/>
  <c r="I49" i="1"/>
  <c r="H35" i="1"/>
  <c r="H32" i="1"/>
  <c r="D25" i="1"/>
  <c r="D43" i="1" s="1"/>
  <c r="D36" i="1"/>
  <c r="D34" i="1"/>
  <c r="D32" i="1"/>
  <c r="D30" i="1"/>
  <c r="C40" i="1"/>
  <c r="C54" i="1"/>
  <c r="H53" i="1"/>
  <c r="H51" i="1"/>
  <c r="H49" i="1"/>
  <c r="H31" i="1"/>
  <c r="H34" i="1"/>
  <c r="F24" i="1"/>
  <c r="F42" i="1" s="1"/>
  <c r="C30" i="1"/>
  <c r="J35" i="1"/>
  <c r="J33" i="1"/>
  <c r="J31" i="1"/>
  <c r="C53" i="1"/>
  <c r="G53" i="1"/>
  <c r="G51" i="1"/>
  <c r="G49" i="1"/>
  <c r="D49" i="1"/>
  <c r="C21" i="1"/>
  <c r="C33" i="1"/>
  <c r="J54" i="1"/>
  <c r="J52" i="1"/>
  <c r="J50" i="1"/>
  <c r="C50" i="1"/>
  <c r="D51" i="1"/>
  <c r="C26" i="1"/>
  <c r="C32" i="1"/>
  <c r="I54" i="1"/>
  <c r="I52" i="1"/>
  <c r="I50" i="1"/>
  <c r="C24" i="1"/>
  <c r="D21" i="1"/>
  <c r="D39" i="1" s="1"/>
  <c r="C31" i="1"/>
  <c r="D35" i="1"/>
  <c r="D33" i="1"/>
  <c r="D31" i="1"/>
  <c r="H54" i="1"/>
  <c r="H52" i="1"/>
  <c r="H50" i="1"/>
  <c r="G54" i="1"/>
  <c r="G52" i="1"/>
  <c r="G50" i="1"/>
  <c r="J36" i="1"/>
  <c r="J34" i="1"/>
  <c r="J32" i="1"/>
  <c r="J30" i="1"/>
  <c r="I36" i="1"/>
  <c r="I34" i="1"/>
  <c r="I32" i="1"/>
  <c r="I30" i="1"/>
  <c r="F54" i="1"/>
  <c r="F52" i="1"/>
  <c r="F50" i="1"/>
  <c r="E54" i="1"/>
  <c r="E52" i="1"/>
  <c r="E50" i="1"/>
  <c r="D54" i="1"/>
  <c r="D52" i="1"/>
  <c r="D50" i="1"/>
  <c r="D55" i="1"/>
  <c r="D56" i="1" s="1"/>
  <c r="J53" i="1"/>
  <c r="J51" i="1"/>
  <c r="J49" i="1"/>
  <c r="C55" i="1"/>
  <c r="C56" i="1" s="1"/>
  <c r="J26" i="1"/>
  <c r="J44" i="1" s="1"/>
  <c r="J22" i="1"/>
  <c r="J40" i="1" s="1"/>
  <c r="I26" i="1"/>
  <c r="I44" i="1" s="1"/>
  <c r="I24" i="1"/>
  <c r="I42" i="1" s="1"/>
  <c r="I22" i="1"/>
  <c r="I40" i="1" s="1"/>
  <c r="H26" i="1"/>
  <c r="H44" i="1" s="1"/>
  <c r="H24" i="1"/>
  <c r="H42" i="1" s="1"/>
  <c r="H22" i="1"/>
  <c r="H40" i="1" s="1"/>
  <c r="C25" i="1"/>
  <c r="G26" i="1"/>
  <c r="G44" i="1" s="1"/>
  <c r="G24" i="1"/>
  <c r="G42" i="1" s="1"/>
  <c r="G22" i="1"/>
  <c r="G40" i="1" s="1"/>
  <c r="E22" i="1"/>
  <c r="E40" i="1" s="1"/>
  <c r="J24" i="1"/>
  <c r="J42" i="1" s="1"/>
  <c r="E26" i="1"/>
  <c r="E44" i="1" s="1"/>
  <c r="D26" i="1"/>
  <c r="D44" i="1" s="1"/>
  <c r="D24" i="1"/>
  <c r="D42" i="1" s="1"/>
  <c r="J27" i="1"/>
  <c r="J45" i="1" s="1"/>
  <c r="J25" i="1"/>
  <c r="J43" i="1" s="1"/>
  <c r="J23" i="1"/>
  <c r="J41" i="1" s="1"/>
  <c r="I27" i="1"/>
  <c r="I45" i="1" s="1"/>
  <c r="I25" i="1"/>
  <c r="I43" i="1" s="1"/>
  <c r="I23" i="1"/>
  <c r="I41" i="1" s="1"/>
  <c r="H27" i="1"/>
  <c r="H45" i="1" s="1"/>
  <c r="H25" i="1"/>
  <c r="H43" i="1" s="1"/>
  <c r="H23" i="1"/>
  <c r="H41" i="1" s="1"/>
  <c r="G27" i="1"/>
  <c r="G45" i="1" s="1"/>
  <c r="G25" i="1"/>
  <c r="G43" i="1" s="1"/>
  <c r="G23" i="1"/>
  <c r="G41" i="1" s="1"/>
  <c r="K35" i="1" l="1"/>
  <c r="K34" i="1"/>
  <c r="K36" i="1"/>
  <c r="K30" i="1"/>
  <c r="K24" i="1"/>
  <c r="K42" i="1" s="1"/>
  <c r="C42" i="1"/>
  <c r="C43" i="1"/>
  <c r="K25" i="1"/>
  <c r="K43" i="1" s="1"/>
  <c r="K32" i="1"/>
  <c r="C44" i="1"/>
  <c r="K26" i="1"/>
  <c r="K44" i="1" s="1"/>
  <c r="K23" i="1"/>
  <c r="K41" i="1" s="1"/>
  <c r="K27" i="1"/>
  <c r="K45" i="1" s="1"/>
  <c r="K33" i="1"/>
  <c r="K31" i="1"/>
  <c r="C39" i="1"/>
  <c r="K21" i="1"/>
  <c r="K39" i="1" s="1"/>
  <c r="K22" i="1"/>
  <c r="K40" i="1" s="1"/>
  <c r="P23" i="1"/>
</calcChain>
</file>

<file path=xl/sharedStrings.xml><?xml version="1.0" encoding="utf-8"?>
<sst xmlns="http://schemas.openxmlformats.org/spreadsheetml/2006/main" count="156" uniqueCount="68">
  <si>
    <t>Price 31/12/20</t>
  </si>
  <si>
    <t>Report date</t>
  </si>
  <si>
    <t>Total Outstanding 31/12/20</t>
  </si>
  <si>
    <t>Percentage Held 31/12/20</t>
  </si>
  <si>
    <t>Nomura</t>
  </si>
  <si>
    <t>Baidu</t>
  </si>
  <si>
    <t>Discovery</t>
  </si>
  <si>
    <t>Farfetch</t>
  </si>
  <si>
    <t>GSX Techedu</t>
  </si>
  <si>
    <t>iQIYI</t>
  </si>
  <si>
    <t>Tencent</t>
  </si>
  <si>
    <t>ViacomCBS</t>
  </si>
  <si>
    <t>Vipshop</t>
  </si>
  <si>
    <t>UBS</t>
  </si>
  <si>
    <t>Credit Suisse</t>
  </si>
  <si>
    <t>Deutsche Bank</t>
  </si>
  <si>
    <t>Goldman Sachs</t>
  </si>
  <si>
    <t>Morgan Stanley</t>
  </si>
  <si>
    <t>Total Percentage Held 31/12/20</t>
  </si>
  <si>
    <t>Price 22/03/21</t>
  </si>
  <si>
    <t>Market Cap 31/12/20</t>
  </si>
  <si>
    <t>15 Day ADV 31/12/20</t>
  </si>
  <si>
    <t>Price 24/03/21</t>
  </si>
  <si>
    <t>Before Viacom Drop %This caused the default so we measure from here</t>
  </si>
  <si>
    <t>Day before sell off begins (Wednesday… actually seems like some frontrunning occurred… positions were already being unwound on Wednesday)</t>
  </si>
  <si>
    <t>Portfolio Value 31/12/20</t>
  </si>
  <si>
    <t>Total</t>
  </si>
  <si>
    <t>Portfolio Value 22/03/21</t>
  </si>
  <si>
    <t>Portfolio Value ($B)</t>
  </si>
  <si>
    <t>BIDU</t>
  </si>
  <si>
    <t>DISCA</t>
  </si>
  <si>
    <t>FTCH</t>
  </si>
  <si>
    <t>GSX</t>
  </si>
  <si>
    <t>IQ</t>
  </si>
  <si>
    <t>TME</t>
  </si>
  <si>
    <t>PARA</t>
  </si>
  <si>
    <t>VIPS</t>
  </si>
  <si>
    <t>Volume</t>
  </si>
  <si>
    <t>After sell off completed</t>
  </si>
  <si>
    <t>Price 28/05/21</t>
  </si>
  <si>
    <t>Change from 22/03 to 28/05</t>
  </si>
  <si>
    <t>Days to liquidate at ADV</t>
  </si>
  <si>
    <t>Absolute difference</t>
  </si>
  <si>
    <t>Percentage Decrease</t>
  </si>
  <si>
    <t>Margin %</t>
  </si>
  <si>
    <t>Margin</t>
  </si>
  <si>
    <t>Impact Costs</t>
  </si>
  <si>
    <t>Trading Costs</t>
  </si>
  <si>
    <t>Disclosed Loss</t>
  </si>
  <si>
    <t>Loss (M) due to Impact</t>
  </si>
  <si>
    <t>Goldman Just received an extra 450m which helped them out. They must also have been well Margined</t>
  </si>
  <si>
    <t>Probably Morgan did not have good margins, or their trades overlapped a bit more</t>
  </si>
  <si>
    <t>Probably Nomura's margins were bad</t>
  </si>
  <si>
    <t>Deutsches margins may have been better</t>
  </si>
  <si>
    <t>GSC</t>
  </si>
  <si>
    <t>Agent</t>
  </si>
  <si>
    <t>Margin Percentage</t>
  </si>
  <si>
    <t>Absolute Margin ($M)</t>
  </si>
  <si>
    <t>Stock Ticker</t>
  </si>
  <si>
    <t>\sigma_{6m}</t>
  </si>
  <si>
    <t>ADV_{15d} (M)</t>
  </si>
  <si>
    <t>\lambda</t>
  </si>
  <si>
    <t>multiplied</t>
  </si>
  <si>
    <t>S_0 ($)</t>
  </si>
  <si>
    <t>MPOR</t>
  </si>
  <si>
    <t>Expected Exposure</t>
  </si>
  <si>
    <t>95 PFE</t>
  </si>
  <si>
    <t>99 PFE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</si>
</sst>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000_-;\-* #,##0.0000_-;_-* &quot;-&quot;??_-;_-@_-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2" fillId="0" borderId="0" xfId="0" applyFont="1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2" applyFon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4" fontId="0" fillId="0" borderId="0" xfId="2" applyNumberFormat="1" applyFont="1"/>
    <xf numFmtId="166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DFAE-3913-4C7E-8488-C76A45115040}">
  <dimension ref="A1:U100"/>
  <sheetViews>
    <sheetView tabSelected="1" topLeftCell="A45" workbookViewId="0">
      <selection activeCell="C81" sqref="C81"/>
    </sheetView>
  </sheetViews>
  <sheetFormatPr defaultRowHeight="14.25" x14ac:dyDescent="0.2"/>
  <cols>
    <col min="1" max="1" width="32.875" bestFit="1" customWidth="1"/>
    <col min="2" max="2" width="26.75" bestFit="1" customWidth="1"/>
    <col min="3" max="3" width="28" bestFit="1" customWidth="1"/>
    <col min="4" max="4" width="17.25" bestFit="1" customWidth="1"/>
    <col min="5" max="5" width="18.25" bestFit="1" customWidth="1"/>
    <col min="6" max="11" width="17.25" bestFit="1" customWidth="1"/>
    <col min="13" max="13" width="23.5" bestFit="1" customWidth="1"/>
    <col min="14" max="14" width="11.25" bestFit="1" customWidth="1"/>
    <col min="15" max="15" width="12.25" bestFit="1" customWidth="1"/>
    <col min="16" max="16" width="19.25" bestFit="1" customWidth="1"/>
    <col min="17" max="17" width="13.125" bestFit="1" customWidth="1"/>
  </cols>
  <sheetData>
    <row r="1" spans="1:21" x14ac:dyDescent="0.2"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26</v>
      </c>
      <c r="N1" t="s">
        <v>29</v>
      </c>
      <c r="O1" t="s">
        <v>30</v>
      </c>
      <c r="P1" t="s">
        <v>31</v>
      </c>
      <c r="Q1" t="s">
        <v>54</v>
      </c>
      <c r="R1" t="s">
        <v>33</v>
      </c>
      <c r="S1" t="s">
        <v>34</v>
      </c>
      <c r="T1" t="s">
        <v>35</v>
      </c>
      <c r="U1" t="s">
        <v>36</v>
      </c>
    </row>
    <row r="2" spans="1:21" x14ac:dyDescent="0.2">
      <c r="A2" t="s">
        <v>14</v>
      </c>
      <c r="B2" t="s">
        <v>3</v>
      </c>
      <c r="C2" s="1">
        <v>0.02</v>
      </c>
      <c r="D2" s="1">
        <v>0.09</v>
      </c>
      <c r="E2" s="1">
        <v>8.0000000000000002E-3</v>
      </c>
      <c r="F2" s="1">
        <v>7.9000000000000001E-2</v>
      </c>
      <c r="G2" s="1">
        <v>6.7000000000000004E-2</v>
      </c>
      <c r="H2" s="1">
        <v>6.4000000000000001E-2</v>
      </c>
      <c r="I2" s="1">
        <v>0.06</v>
      </c>
      <c r="J2" s="1">
        <v>3.1E-2</v>
      </c>
      <c r="M2" t="s">
        <v>19</v>
      </c>
      <c r="N2">
        <v>266.13</v>
      </c>
      <c r="O2">
        <v>77.27</v>
      </c>
      <c r="P2">
        <v>62</v>
      </c>
      <c r="Q2">
        <v>83.79</v>
      </c>
      <c r="R2">
        <v>28.04</v>
      </c>
      <c r="S2">
        <v>30.87</v>
      </c>
      <c r="T2">
        <v>100.34</v>
      </c>
      <c r="U2">
        <v>45.25</v>
      </c>
    </row>
    <row r="3" spans="1:21" x14ac:dyDescent="0.2">
      <c r="A3" t="s">
        <v>15</v>
      </c>
      <c r="B3" t="s">
        <v>3</v>
      </c>
      <c r="C3" s="1">
        <v>7.0000000000000001E-3</v>
      </c>
      <c r="D3" s="1">
        <v>3.4000000000000002E-2</v>
      </c>
      <c r="E3" s="1">
        <v>2.1999999999999999E-2</v>
      </c>
      <c r="F3" s="1">
        <v>1E-3</v>
      </c>
      <c r="G3" s="1">
        <v>1.0999999999999999E-2</v>
      </c>
      <c r="H3" s="1">
        <v>1.4E-2</v>
      </c>
      <c r="I3" s="1">
        <v>0.01</v>
      </c>
      <c r="J3" s="1">
        <v>1.4E-2</v>
      </c>
      <c r="M3" t="s">
        <v>39</v>
      </c>
      <c r="N3">
        <v>196.27</v>
      </c>
      <c r="O3">
        <v>32.11</v>
      </c>
      <c r="P3">
        <v>46.330002</v>
      </c>
      <c r="Q3">
        <v>18.54</v>
      </c>
      <c r="R3">
        <v>14.26</v>
      </c>
      <c r="S3">
        <v>15.74</v>
      </c>
      <c r="T3">
        <v>42.42</v>
      </c>
      <c r="U3">
        <v>23.13</v>
      </c>
    </row>
    <row r="4" spans="1:21" x14ac:dyDescent="0.2">
      <c r="A4" t="s">
        <v>16</v>
      </c>
      <c r="B4" t="s">
        <v>3</v>
      </c>
      <c r="C4" s="1">
        <v>1.2999999999999999E-2</v>
      </c>
      <c r="D4" s="1">
        <v>2.1000000000000001E-2</v>
      </c>
      <c r="E4" s="1">
        <v>2.1999999999999999E-2</v>
      </c>
      <c r="F4" s="1">
        <v>0.16200000000000001</v>
      </c>
      <c r="G4" s="1">
        <v>6.6000000000000003E-2</v>
      </c>
      <c r="H4" s="1">
        <v>0.03</v>
      </c>
      <c r="I4" s="1">
        <v>1.7000000000000001E-2</v>
      </c>
      <c r="J4" s="1">
        <v>0.03</v>
      </c>
      <c r="M4" t="s">
        <v>40</v>
      </c>
      <c r="N4" s="6">
        <f>N3/N2</f>
        <v>0.73749671213316803</v>
      </c>
      <c r="O4" s="6">
        <f t="shared" ref="O4:U4" si="0">O3/O2</f>
        <v>0.41555584314740523</v>
      </c>
      <c r="P4" s="6">
        <f t="shared" si="0"/>
        <v>0.74725809677419353</v>
      </c>
      <c r="Q4" s="6">
        <f t="shared" si="0"/>
        <v>0.2212674543501611</v>
      </c>
      <c r="R4" s="6">
        <f t="shared" si="0"/>
        <v>0.50855920114122688</v>
      </c>
      <c r="S4" s="6">
        <f t="shared" si="0"/>
        <v>0.5098801425332038</v>
      </c>
      <c r="T4" s="6">
        <f t="shared" si="0"/>
        <v>0.42276260713573849</v>
      </c>
      <c r="U4" s="6">
        <f t="shared" si="0"/>
        <v>0.51116022099447511</v>
      </c>
    </row>
    <row r="5" spans="1:21" x14ac:dyDescent="0.2">
      <c r="A5" t="s">
        <v>17</v>
      </c>
      <c r="B5" t="s">
        <v>3</v>
      </c>
      <c r="C5" s="1">
        <v>1.9E-2</v>
      </c>
      <c r="D5" s="1">
        <v>6.5000000000000002E-2</v>
      </c>
      <c r="E5" s="1">
        <v>0.128</v>
      </c>
      <c r="F5" s="1">
        <v>0.10100000000000001</v>
      </c>
      <c r="G5" s="1">
        <v>8.4000000000000005E-2</v>
      </c>
      <c r="H5" s="1">
        <v>5.8000000000000003E-2</v>
      </c>
      <c r="I5" s="1">
        <v>7.1999999999999995E-2</v>
      </c>
      <c r="J5" s="1">
        <v>7.2999999999999995E-2</v>
      </c>
      <c r="M5" t="s">
        <v>43</v>
      </c>
      <c r="N5" s="6">
        <v>0.26250328786683197</v>
      </c>
      <c r="O5" s="6">
        <v>0.58444415685259477</v>
      </c>
      <c r="P5" s="6">
        <v>0.25274190322580647</v>
      </c>
      <c r="Q5" s="6">
        <v>0.77873254564983885</v>
      </c>
      <c r="R5" s="6">
        <v>0.49144079885877312</v>
      </c>
      <c r="S5" s="6">
        <v>0.4901198574667962</v>
      </c>
      <c r="T5" s="6">
        <v>0.57723739286426157</v>
      </c>
      <c r="U5" s="6">
        <v>0.48883977900552489</v>
      </c>
    </row>
    <row r="6" spans="1:21" x14ac:dyDescent="0.2">
      <c r="A6" t="s">
        <v>4</v>
      </c>
      <c r="B6" t="s">
        <v>3</v>
      </c>
      <c r="C6" s="1">
        <v>6.0000000000000001E-3</v>
      </c>
      <c r="D6" s="1">
        <v>4.4999999999999998E-2</v>
      </c>
      <c r="E6" s="3">
        <v>0</v>
      </c>
      <c r="F6" s="1">
        <v>7.2999999999999995E-2</v>
      </c>
      <c r="G6" s="1">
        <v>4.2000000000000003E-2</v>
      </c>
      <c r="H6" s="1">
        <v>0.04</v>
      </c>
      <c r="I6" s="1">
        <v>3.4000000000000002E-2</v>
      </c>
      <c r="J6" s="1">
        <v>2.7E-2</v>
      </c>
    </row>
    <row r="7" spans="1:21" x14ac:dyDescent="0.2">
      <c r="A7" t="s">
        <v>13</v>
      </c>
      <c r="B7" t="s">
        <v>3</v>
      </c>
      <c r="C7" s="1">
        <v>7.0000000000000001E-3</v>
      </c>
      <c r="D7" s="1">
        <v>1.7000000000000001E-2</v>
      </c>
      <c r="E7" s="1">
        <v>2E-3</v>
      </c>
      <c r="F7" s="1">
        <v>7.8E-2</v>
      </c>
      <c r="G7" s="1">
        <v>5.2999999999999999E-2</v>
      </c>
      <c r="H7" s="1">
        <v>1.7999999999999999E-2</v>
      </c>
      <c r="I7" s="1">
        <v>1.7000000000000001E-2</v>
      </c>
      <c r="J7" s="1">
        <v>2E-3</v>
      </c>
    </row>
    <row r="8" spans="1:21" x14ac:dyDescent="0.2">
      <c r="B8" t="s">
        <v>18</v>
      </c>
      <c r="C8" s="1">
        <f t="shared" ref="C8:J8" si="1">SUM(C2:C7)</f>
        <v>7.2000000000000008E-2</v>
      </c>
      <c r="D8" s="1">
        <f t="shared" si="1"/>
        <v>0.27200000000000002</v>
      </c>
      <c r="E8" s="1">
        <f t="shared" si="1"/>
        <v>0.182</v>
      </c>
      <c r="F8" s="1">
        <f t="shared" si="1"/>
        <v>0.49399999999999999</v>
      </c>
      <c r="G8" s="1">
        <f t="shared" si="1"/>
        <v>0.32300000000000001</v>
      </c>
      <c r="H8" s="1">
        <f t="shared" si="1"/>
        <v>0.224</v>
      </c>
      <c r="I8" s="1">
        <f t="shared" si="1"/>
        <v>0.20999999999999996</v>
      </c>
      <c r="J8" s="1">
        <f t="shared" si="1"/>
        <v>0.17699999999999999</v>
      </c>
    </row>
    <row r="9" spans="1:21" x14ac:dyDescent="0.2">
      <c r="B9" t="s">
        <v>20</v>
      </c>
      <c r="C9" s="4">
        <v>58290000000</v>
      </c>
      <c r="D9" s="4">
        <v>18559000000</v>
      </c>
      <c r="E9" s="4">
        <v>22010000000</v>
      </c>
      <c r="F9" s="4">
        <v>12330000000</v>
      </c>
      <c r="G9" s="4">
        <v>13695000000</v>
      </c>
      <c r="H9" s="4">
        <v>32276000000</v>
      </c>
      <c r="I9" s="4">
        <v>23028000000</v>
      </c>
      <c r="J9" s="4">
        <v>18990000000</v>
      </c>
    </row>
    <row r="10" spans="1:21" x14ac:dyDescent="0.2">
      <c r="A10" t="s">
        <v>1</v>
      </c>
      <c r="B10" t="s">
        <v>0</v>
      </c>
      <c r="C10" s="4">
        <v>216.24</v>
      </c>
      <c r="D10" s="4">
        <v>30.1</v>
      </c>
      <c r="E10">
        <v>63.810001</v>
      </c>
      <c r="F10">
        <v>51.71</v>
      </c>
      <c r="G10">
        <v>17.54</v>
      </c>
      <c r="H10" s="4">
        <v>19.239999999999998</v>
      </c>
      <c r="I10">
        <v>37.26</v>
      </c>
      <c r="J10">
        <v>28.11</v>
      </c>
    </row>
    <row r="11" spans="1:21" ht="18.75" x14ac:dyDescent="0.3">
      <c r="A11" s="2"/>
      <c r="B11" t="s">
        <v>2</v>
      </c>
      <c r="C11" s="4">
        <f t="shared" ref="C11:J11" si="2">C9/C10</f>
        <v>269561598.2241953</v>
      </c>
      <c r="D11" s="4">
        <f t="shared" si="2"/>
        <v>616578073.08970094</v>
      </c>
      <c r="E11" s="4">
        <f t="shared" si="2"/>
        <v>344930256.30888176</v>
      </c>
      <c r="F11" s="4">
        <f t="shared" si="2"/>
        <v>238445175.01450396</v>
      </c>
      <c r="G11" s="4">
        <f t="shared" si="2"/>
        <v>780786773.0900799</v>
      </c>
      <c r="H11" s="4">
        <f t="shared" si="2"/>
        <v>1677546777.5467777</v>
      </c>
      <c r="I11" s="4">
        <f t="shared" si="2"/>
        <v>618035426.73107898</v>
      </c>
      <c r="J11" s="4">
        <f t="shared" si="2"/>
        <v>675560298.82604063</v>
      </c>
    </row>
    <row r="12" spans="1:21" x14ac:dyDescent="0.2">
      <c r="B12" t="s">
        <v>21</v>
      </c>
      <c r="C12" s="4">
        <v>11581618</v>
      </c>
      <c r="D12" s="4">
        <v>5674637</v>
      </c>
      <c r="E12" s="4">
        <v>3733321</v>
      </c>
      <c r="F12" s="4">
        <v>3990601</v>
      </c>
      <c r="G12" s="4">
        <v>16352557</v>
      </c>
      <c r="H12" s="4">
        <v>2334230</v>
      </c>
      <c r="I12" s="4">
        <v>10983970</v>
      </c>
      <c r="J12" s="4">
        <v>2246057</v>
      </c>
    </row>
    <row r="13" spans="1:21" x14ac:dyDescent="0.2">
      <c r="A13" t="s">
        <v>23</v>
      </c>
      <c r="B13" t="s">
        <v>19</v>
      </c>
      <c r="C13">
        <v>266.13</v>
      </c>
      <c r="D13">
        <v>77.27</v>
      </c>
      <c r="E13">
        <v>62</v>
      </c>
      <c r="F13">
        <v>83.79</v>
      </c>
      <c r="G13">
        <v>28.04</v>
      </c>
      <c r="H13">
        <v>30.87</v>
      </c>
      <c r="I13">
        <v>100.34</v>
      </c>
      <c r="J13">
        <v>45.25</v>
      </c>
    </row>
    <row r="14" spans="1:21" x14ac:dyDescent="0.2">
      <c r="A14" t="s">
        <v>24</v>
      </c>
      <c r="B14" t="s">
        <v>22</v>
      </c>
      <c r="C14">
        <v>239.19</v>
      </c>
      <c r="D14">
        <v>74.650000000000006</v>
      </c>
      <c r="E14">
        <v>54</v>
      </c>
      <c r="F14">
        <v>69.5</v>
      </c>
      <c r="G14">
        <v>23.17</v>
      </c>
      <c r="H14">
        <v>23.18</v>
      </c>
      <c r="I14">
        <v>66.349999999999994</v>
      </c>
      <c r="J14">
        <v>35.81</v>
      </c>
    </row>
    <row r="15" spans="1:21" x14ac:dyDescent="0.2">
      <c r="A15" t="s">
        <v>38</v>
      </c>
      <c r="B15" t="s">
        <v>39</v>
      </c>
      <c r="C15">
        <v>196.27</v>
      </c>
      <c r="D15">
        <v>32.11</v>
      </c>
      <c r="E15">
        <v>46.330002</v>
      </c>
      <c r="F15">
        <v>18.54</v>
      </c>
      <c r="G15">
        <v>14.26</v>
      </c>
      <c r="H15">
        <v>15.74</v>
      </c>
      <c r="I15">
        <v>42.42</v>
      </c>
      <c r="J15">
        <v>23.13</v>
      </c>
    </row>
    <row r="16" spans="1:21" x14ac:dyDescent="0.2">
      <c r="B16" t="s">
        <v>40</v>
      </c>
      <c r="C16" s="6">
        <f>C15/C13</f>
        <v>0.73749671213316803</v>
      </c>
      <c r="D16" s="6">
        <f t="shared" ref="D16:J16" si="3">D15/D13</f>
        <v>0.41555584314740523</v>
      </c>
      <c r="E16" s="6">
        <f t="shared" si="3"/>
        <v>0.74725809677419353</v>
      </c>
      <c r="F16" s="6">
        <f t="shared" si="3"/>
        <v>0.2212674543501611</v>
      </c>
      <c r="G16" s="6">
        <f t="shared" si="3"/>
        <v>0.50855920114122688</v>
      </c>
      <c r="H16" s="6">
        <f t="shared" si="3"/>
        <v>0.5098801425332038</v>
      </c>
      <c r="I16" s="6">
        <f t="shared" si="3"/>
        <v>0.42276260713573849</v>
      </c>
      <c r="J16" s="6">
        <f t="shared" si="3"/>
        <v>0.51116022099447511</v>
      </c>
    </row>
    <row r="17" spans="1:18" x14ac:dyDescent="0.2">
      <c r="B17" t="s">
        <v>43</v>
      </c>
      <c r="C17" s="6">
        <f>1-C16</f>
        <v>0.26250328786683197</v>
      </c>
      <c r="D17" s="6">
        <f t="shared" ref="D17:J17" si="4">1-D16</f>
        <v>0.58444415685259477</v>
      </c>
      <c r="E17" s="6">
        <f t="shared" si="4"/>
        <v>0.25274190322580647</v>
      </c>
      <c r="F17" s="6">
        <f t="shared" si="4"/>
        <v>0.77873254564983885</v>
      </c>
      <c r="G17" s="6">
        <f t="shared" si="4"/>
        <v>0.49144079885877312</v>
      </c>
      <c r="H17" s="6">
        <f t="shared" si="4"/>
        <v>0.4901198574667962</v>
      </c>
      <c r="I17" s="6">
        <f t="shared" si="4"/>
        <v>0.57723739286426157</v>
      </c>
      <c r="J17" s="6">
        <f t="shared" si="4"/>
        <v>0.48883977900552489</v>
      </c>
    </row>
    <row r="18" spans="1:18" x14ac:dyDescent="0.2">
      <c r="B18" t="s">
        <v>42</v>
      </c>
      <c r="C18">
        <f>C13-C15</f>
        <v>69.859999999999985</v>
      </c>
      <c r="D18">
        <f t="shared" ref="D18:J18" si="5">D13-D15</f>
        <v>45.16</v>
      </c>
      <c r="E18">
        <f t="shared" si="5"/>
        <v>15.669998</v>
      </c>
      <c r="F18">
        <f t="shared" si="5"/>
        <v>65.25</v>
      </c>
      <c r="G18">
        <f t="shared" si="5"/>
        <v>13.78</v>
      </c>
      <c r="H18">
        <f t="shared" si="5"/>
        <v>15.13</v>
      </c>
      <c r="I18">
        <f t="shared" si="5"/>
        <v>57.92</v>
      </c>
      <c r="J18">
        <f t="shared" si="5"/>
        <v>22.12</v>
      </c>
    </row>
    <row r="19" spans="1:18" x14ac:dyDescent="0.2">
      <c r="C19" s="4">
        <f>C23/C10</f>
        <v>4312798.5837970134</v>
      </c>
    </row>
    <row r="20" spans="1:18" x14ac:dyDescent="0.2">
      <c r="C20" t="s">
        <v>5</v>
      </c>
      <c r="D20" t="s">
        <v>6</v>
      </c>
      <c r="E20" t="s">
        <v>7</v>
      </c>
      <c r="F20" t="s">
        <v>8</v>
      </c>
      <c r="G20" t="s">
        <v>9</v>
      </c>
      <c r="H20" t="s">
        <v>10</v>
      </c>
      <c r="I20" t="s">
        <v>11</v>
      </c>
      <c r="J20" t="s">
        <v>12</v>
      </c>
      <c r="K20" t="s">
        <v>26</v>
      </c>
      <c r="L20" t="s">
        <v>44</v>
      </c>
      <c r="M20" t="s">
        <v>45</v>
      </c>
      <c r="N20" t="s">
        <v>46</v>
      </c>
      <c r="O20" t="s">
        <v>47</v>
      </c>
      <c r="P20" t="s">
        <v>49</v>
      </c>
      <c r="Q20" t="s">
        <v>48</v>
      </c>
    </row>
    <row r="21" spans="1:18" x14ac:dyDescent="0.2">
      <c r="A21" t="s">
        <v>14</v>
      </c>
      <c r="B21" t="s">
        <v>27</v>
      </c>
      <c r="C21" s="5">
        <f t="shared" ref="C21:C27" si="6">C$13*C$11*C2</f>
        <v>1434768562.7081017</v>
      </c>
      <c r="D21" s="5">
        <f t="shared" ref="D21:J21" si="7">D$13*D$11*D2</f>
        <v>4287868893.6877069</v>
      </c>
      <c r="E21" s="5">
        <f t="shared" si="7"/>
        <v>171085407.12920535</v>
      </c>
      <c r="F21" s="5">
        <f t="shared" si="7"/>
        <v>1578366375.9427576</v>
      </c>
      <c r="G21" s="5">
        <f t="shared" si="7"/>
        <v>1466848494.8688712</v>
      </c>
      <c r="H21" s="5">
        <f t="shared" si="7"/>
        <v>3314295617.4636183</v>
      </c>
      <c r="I21" s="5">
        <f t="shared" si="7"/>
        <v>3720820483.0917878</v>
      </c>
      <c r="J21" s="5">
        <f t="shared" si="7"/>
        <v>947642209.1782285</v>
      </c>
      <c r="K21" s="5">
        <f t="shared" ref="K21:K27" si="8">SUM(C21:J21)</f>
        <v>16921696044.070278</v>
      </c>
      <c r="L21" s="7">
        <v>0.1</v>
      </c>
      <c r="M21" s="8">
        <f>K21*L21/1000000</f>
        <v>1692.1696044070279</v>
      </c>
      <c r="N21">
        <v>7237</v>
      </c>
      <c r="O21">
        <v>76</v>
      </c>
      <c r="P21" s="5">
        <f>MIN(M21/1000000-(N21+O21),0)</f>
        <v>-7312.9983078303958</v>
      </c>
      <c r="Q21" s="4">
        <v>-5400</v>
      </c>
    </row>
    <row r="22" spans="1:18" x14ac:dyDescent="0.2">
      <c r="A22" t="s">
        <v>15</v>
      </c>
      <c r="B22" t="s">
        <v>27</v>
      </c>
      <c r="C22" s="5">
        <f t="shared" si="6"/>
        <v>502168996.94783562</v>
      </c>
      <c r="D22" s="5">
        <f t="shared" ref="D22:J27" si="9">D$13*D$11*D3</f>
        <v>1619861582.0598006</v>
      </c>
      <c r="E22" s="5">
        <f t="shared" si="9"/>
        <v>470484869.60531467</v>
      </c>
      <c r="F22" s="5">
        <f t="shared" si="9"/>
        <v>19979321.214465287</v>
      </c>
      <c r="G22" s="5">
        <f t="shared" si="9"/>
        <v>240825872.29190421</v>
      </c>
      <c r="H22" s="5">
        <f t="shared" si="9"/>
        <v>725002166.32016647</v>
      </c>
      <c r="I22" s="5">
        <f t="shared" si="9"/>
        <v>620136747.18196464</v>
      </c>
      <c r="J22" s="5">
        <f t="shared" si="9"/>
        <v>427967449.30629677</v>
      </c>
      <c r="K22" s="5">
        <f t="shared" si="8"/>
        <v>4626427004.9277477</v>
      </c>
      <c r="L22" s="7">
        <v>0.2</v>
      </c>
      <c r="M22" s="8">
        <f t="shared" ref="M22:M26" si="10">K22*L22/1000000</f>
        <v>925.28540098554959</v>
      </c>
      <c r="N22">
        <v>1116</v>
      </c>
      <c r="O22">
        <v>101</v>
      </c>
      <c r="P22" s="5">
        <f t="shared" ref="P22:P26" si="11">MIN(M22/1000000-(N22+O22),0)</f>
        <v>-1216.9990747145989</v>
      </c>
      <c r="Q22">
        <v>0</v>
      </c>
      <c r="R22" t="s">
        <v>53</v>
      </c>
    </row>
    <row r="23" spans="1:18" x14ac:dyDescent="0.2">
      <c r="A23" t="s">
        <v>16</v>
      </c>
      <c r="B23" t="s">
        <v>27</v>
      </c>
      <c r="C23" s="5">
        <f t="shared" si="6"/>
        <v>932599565.76026618</v>
      </c>
      <c r="D23" s="5">
        <f t="shared" si="9"/>
        <v>1000502741.860465</v>
      </c>
      <c r="E23" s="5">
        <f t="shared" si="9"/>
        <v>470484869.60531467</v>
      </c>
      <c r="F23" s="5">
        <f t="shared" si="9"/>
        <v>3236650036.7433763</v>
      </c>
      <c r="G23" s="5">
        <f t="shared" si="9"/>
        <v>1444955233.7514255</v>
      </c>
      <c r="H23" s="5">
        <f t="shared" si="9"/>
        <v>1553576070.6860709</v>
      </c>
      <c r="I23" s="5">
        <f t="shared" si="9"/>
        <v>1054232470.20934</v>
      </c>
      <c r="J23" s="5">
        <f t="shared" si="9"/>
        <v>917073105.65635014</v>
      </c>
      <c r="K23" s="5">
        <f t="shared" si="8"/>
        <v>10610074094.27261</v>
      </c>
      <c r="L23" s="7">
        <f>M23*1000000/K23</f>
        <v>0.2442975228847562</v>
      </c>
      <c r="M23" s="8">
        <f>K23*0.2/1000000 + 470</f>
        <v>2592.0148188545218</v>
      </c>
      <c r="N23">
        <v>1975</v>
      </c>
      <c r="O23">
        <v>393</v>
      </c>
      <c r="P23" s="5">
        <f t="shared" si="11"/>
        <v>-2367.9974079851813</v>
      </c>
      <c r="Q23">
        <v>0</v>
      </c>
      <c r="R23" t="s">
        <v>50</v>
      </c>
    </row>
    <row r="24" spans="1:18" x14ac:dyDescent="0.2">
      <c r="A24" t="s">
        <v>17</v>
      </c>
      <c r="B24" t="s">
        <v>27</v>
      </c>
      <c r="C24" s="5">
        <f t="shared" si="6"/>
        <v>1363030134.5726967</v>
      </c>
      <c r="D24" s="5">
        <f t="shared" si="9"/>
        <v>3096794200.9966774</v>
      </c>
      <c r="E24" s="5">
        <f t="shared" si="9"/>
        <v>2737366514.0672855</v>
      </c>
      <c r="F24" s="5">
        <f t="shared" si="9"/>
        <v>2017911442.6609941</v>
      </c>
      <c r="G24" s="5">
        <f t="shared" si="9"/>
        <v>1839033933.8654506</v>
      </c>
      <c r="H24" s="5">
        <f t="shared" si="9"/>
        <v>3003580403.3264041</v>
      </c>
      <c r="I24" s="5">
        <f t="shared" si="9"/>
        <v>4464984579.710145</v>
      </c>
      <c r="J24" s="5">
        <f t="shared" si="9"/>
        <v>2231544557.0971184</v>
      </c>
      <c r="K24" s="5">
        <f t="shared" si="8"/>
        <v>20754245766.296772</v>
      </c>
      <c r="L24" s="7">
        <v>0.2</v>
      </c>
      <c r="M24" s="8">
        <f t="shared" si="10"/>
        <v>4150.8491532593544</v>
      </c>
      <c r="N24">
        <v>3547</v>
      </c>
      <c r="O24">
        <v>472</v>
      </c>
      <c r="P24" s="5">
        <f t="shared" si="11"/>
        <v>-4018.9958491508469</v>
      </c>
      <c r="Q24">
        <v>-911</v>
      </c>
      <c r="R24" t="s">
        <v>51</v>
      </c>
    </row>
    <row r="25" spans="1:18" x14ac:dyDescent="0.2">
      <c r="A25" t="s">
        <v>4</v>
      </c>
      <c r="B25" t="s">
        <v>27</v>
      </c>
      <c r="C25" s="5">
        <f t="shared" si="6"/>
        <v>430430568.81243056</v>
      </c>
      <c r="D25" s="5">
        <f t="shared" si="9"/>
        <v>2143934446.8438535</v>
      </c>
      <c r="E25" s="5">
        <f t="shared" si="9"/>
        <v>0</v>
      </c>
      <c r="F25" s="5">
        <f t="shared" si="9"/>
        <v>1458490448.6559658</v>
      </c>
      <c r="G25" s="5">
        <f t="shared" si="9"/>
        <v>919516966.93272531</v>
      </c>
      <c r="H25" s="5">
        <f t="shared" si="9"/>
        <v>2071434760.9147613</v>
      </c>
      <c r="I25" s="5">
        <f t="shared" si="9"/>
        <v>2108464940.41868</v>
      </c>
      <c r="J25" s="5">
        <f t="shared" si="9"/>
        <v>825365795.09071517</v>
      </c>
      <c r="K25" s="5">
        <f t="shared" si="8"/>
        <v>9957637927.6691322</v>
      </c>
      <c r="L25" s="7">
        <v>0.2</v>
      </c>
      <c r="M25" s="8">
        <f t="shared" si="10"/>
        <v>1991.5275855338266</v>
      </c>
      <c r="N25">
        <v>4477</v>
      </c>
      <c r="O25">
        <v>46</v>
      </c>
      <c r="P25" s="5">
        <f t="shared" si="11"/>
        <v>-4522.9980084724148</v>
      </c>
      <c r="Q25">
        <v>-2900</v>
      </c>
      <c r="R25" t="s">
        <v>52</v>
      </c>
    </row>
    <row r="26" spans="1:18" x14ac:dyDescent="0.2">
      <c r="A26" t="s">
        <v>13</v>
      </c>
      <c r="B26" t="s">
        <v>27</v>
      </c>
      <c r="C26" s="5">
        <f t="shared" si="6"/>
        <v>502168996.94783562</v>
      </c>
      <c r="D26" s="5">
        <f t="shared" si="9"/>
        <v>809930791.02990031</v>
      </c>
      <c r="E26" s="5">
        <f t="shared" si="9"/>
        <v>42771351.782301337</v>
      </c>
      <c r="F26" s="5">
        <f t="shared" si="9"/>
        <v>1558387054.7282922</v>
      </c>
      <c r="G26" s="5">
        <f t="shared" si="9"/>
        <v>1160342839.2246294</v>
      </c>
      <c r="H26" s="5">
        <f t="shared" si="9"/>
        <v>932145642.41164255</v>
      </c>
      <c r="I26" s="5">
        <f t="shared" si="9"/>
        <v>1054232470.20934</v>
      </c>
      <c r="J26" s="5">
        <f t="shared" si="9"/>
        <v>61138207.043756679</v>
      </c>
      <c r="K26" s="5">
        <f t="shared" si="8"/>
        <v>6121117353.3776979</v>
      </c>
      <c r="L26" s="7">
        <v>0.2</v>
      </c>
      <c r="M26" s="8">
        <f t="shared" si="10"/>
        <v>1224.2234706755398</v>
      </c>
      <c r="N26">
        <v>2012</v>
      </c>
      <c r="O26">
        <v>123</v>
      </c>
      <c r="P26" s="5">
        <f t="shared" si="11"/>
        <v>-2134.9987757765293</v>
      </c>
      <c r="Q26">
        <v>-861</v>
      </c>
    </row>
    <row r="27" spans="1:18" x14ac:dyDescent="0.2">
      <c r="A27" t="s">
        <v>26</v>
      </c>
      <c r="B27" t="s">
        <v>27</v>
      </c>
      <c r="C27" s="5">
        <f t="shared" si="6"/>
        <v>5165166825.7491674</v>
      </c>
      <c r="D27" s="5">
        <f t="shared" si="9"/>
        <v>12958892656.478405</v>
      </c>
      <c r="E27" s="5">
        <f t="shared" si="9"/>
        <v>3892193012.1894217</v>
      </c>
      <c r="F27" s="5">
        <f t="shared" si="9"/>
        <v>9869784679.9458504</v>
      </c>
      <c r="G27" s="5">
        <f t="shared" si="9"/>
        <v>7071523340.9350061</v>
      </c>
      <c r="H27" s="5">
        <f t="shared" si="9"/>
        <v>11600034661.122663</v>
      </c>
      <c r="I27" s="5">
        <f t="shared" si="9"/>
        <v>13022871690.821255</v>
      </c>
      <c r="J27" s="5">
        <f t="shared" si="9"/>
        <v>5410731323.3724651</v>
      </c>
      <c r="K27" s="5">
        <f t="shared" si="8"/>
        <v>68991198190.614243</v>
      </c>
    </row>
    <row r="30" spans="1:18" x14ac:dyDescent="0.2">
      <c r="A30" t="s">
        <v>14</v>
      </c>
      <c r="B30" t="s">
        <v>25</v>
      </c>
      <c r="C30" s="5">
        <f t="shared" ref="C30:C36" si="12">C$10*C$11*C2</f>
        <v>1165799999.9999998</v>
      </c>
      <c r="D30" s="5">
        <f t="shared" ref="D30:J30" si="13">D$10*D$11*D2</f>
        <v>1670310000</v>
      </c>
      <c r="E30" s="5">
        <f t="shared" si="13"/>
        <v>176080000</v>
      </c>
      <c r="F30" s="5">
        <f t="shared" si="13"/>
        <v>974070000</v>
      </c>
      <c r="G30" s="5">
        <f t="shared" si="13"/>
        <v>917565000</v>
      </c>
      <c r="H30" s="5">
        <f t="shared" si="13"/>
        <v>2065664000</v>
      </c>
      <c r="I30" s="5">
        <f t="shared" si="13"/>
        <v>1381680000</v>
      </c>
      <c r="J30" s="5">
        <f t="shared" si="13"/>
        <v>588690000</v>
      </c>
      <c r="K30" s="5">
        <f>SUM(C30:J30)</f>
        <v>8939859000</v>
      </c>
    </row>
    <row r="31" spans="1:18" x14ac:dyDescent="0.2">
      <c r="A31" t="s">
        <v>15</v>
      </c>
      <c r="B31" t="s">
        <v>25</v>
      </c>
      <c r="C31" s="5">
        <f t="shared" si="12"/>
        <v>408029999.99999994</v>
      </c>
      <c r="D31" s="5">
        <f t="shared" ref="D31:J36" si="14">D$10*D$11*D3</f>
        <v>631006000</v>
      </c>
      <c r="E31" s="5">
        <f t="shared" si="14"/>
        <v>484220000</v>
      </c>
      <c r="F31" s="5">
        <f t="shared" si="14"/>
        <v>12330000</v>
      </c>
      <c r="G31" s="5">
        <f t="shared" si="14"/>
        <v>150645000</v>
      </c>
      <c r="H31" s="5">
        <f t="shared" si="14"/>
        <v>451864000</v>
      </c>
      <c r="I31" s="5">
        <f t="shared" si="14"/>
        <v>230280000</v>
      </c>
      <c r="J31" s="5">
        <f t="shared" si="14"/>
        <v>265860000</v>
      </c>
      <c r="K31" s="5">
        <f t="shared" ref="K31:K36" si="15">SUM(C31:J31)</f>
        <v>2634235000</v>
      </c>
      <c r="M31" t="s">
        <v>55</v>
      </c>
      <c r="N31" t="s">
        <v>56</v>
      </c>
      <c r="O31" t="s">
        <v>57</v>
      </c>
    </row>
    <row r="32" spans="1:18" x14ac:dyDescent="0.2">
      <c r="A32" t="s">
        <v>16</v>
      </c>
      <c r="B32" t="s">
        <v>25</v>
      </c>
      <c r="C32" s="5">
        <f t="shared" si="12"/>
        <v>757769999.99999988</v>
      </c>
      <c r="D32" s="5">
        <f t="shared" si="14"/>
        <v>389739000</v>
      </c>
      <c r="E32" s="5">
        <f t="shared" si="14"/>
        <v>484220000</v>
      </c>
      <c r="F32" s="5">
        <f t="shared" si="14"/>
        <v>1997460000</v>
      </c>
      <c r="G32" s="5">
        <f t="shared" si="14"/>
        <v>903870000</v>
      </c>
      <c r="H32" s="5">
        <f t="shared" si="14"/>
        <v>968280000</v>
      </c>
      <c r="I32" s="5">
        <f t="shared" si="14"/>
        <v>391476000</v>
      </c>
      <c r="J32" s="5">
        <f t="shared" si="14"/>
        <v>569700000</v>
      </c>
      <c r="K32" s="5">
        <f t="shared" si="15"/>
        <v>6462515000</v>
      </c>
      <c r="M32" t="s">
        <v>14</v>
      </c>
      <c r="N32" s="10">
        <v>0.1</v>
      </c>
      <c r="O32" s="9">
        <v>1692.1696044070279</v>
      </c>
    </row>
    <row r="33" spans="1:15" x14ac:dyDescent="0.2">
      <c r="A33" t="s">
        <v>17</v>
      </c>
      <c r="B33" t="s">
        <v>25</v>
      </c>
      <c r="C33" s="5">
        <f t="shared" si="12"/>
        <v>1107509999.9999998</v>
      </c>
      <c r="D33" s="5">
        <f t="shared" si="14"/>
        <v>1206335000</v>
      </c>
      <c r="E33" s="5">
        <f t="shared" si="14"/>
        <v>2817280000</v>
      </c>
      <c r="F33" s="5">
        <f t="shared" si="14"/>
        <v>1245330000</v>
      </c>
      <c r="G33" s="5">
        <f t="shared" si="14"/>
        <v>1150380000</v>
      </c>
      <c r="H33" s="5">
        <f t="shared" si="14"/>
        <v>1872008000</v>
      </c>
      <c r="I33" s="5">
        <f t="shared" si="14"/>
        <v>1658015999.9999998</v>
      </c>
      <c r="J33" s="5">
        <f t="shared" si="14"/>
        <v>1386270000</v>
      </c>
      <c r="K33" s="5">
        <f t="shared" si="15"/>
        <v>12443129000</v>
      </c>
      <c r="M33" t="s">
        <v>15</v>
      </c>
      <c r="N33" s="10">
        <v>0.2</v>
      </c>
      <c r="O33" s="9">
        <v>925.28540098554959</v>
      </c>
    </row>
    <row r="34" spans="1:15" x14ac:dyDescent="0.2">
      <c r="A34" t="s">
        <v>4</v>
      </c>
      <c r="B34" t="s">
        <v>25</v>
      </c>
      <c r="C34" s="5">
        <f t="shared" si="12"/>
        <v>349739999.99999994</v>
      </c>
      <c r="D34" s="5">
        <f t="shared" si="14"/>
        <v>835155000</v>
      </c>
      <c r="E34" s="5">
        <f t="shared" si="14"/>
        <v>0</v>
      </c>
      <c r="F34" s="5">
        <f t="shared" si="14"/>
        <v>900090000</v>
      </c>
      <c r="G34" s="5">
        <f t="shared" si="14"/>
        <v>575190000</v>
      </c>
      <c r="H34" s="5">
        <f t="shared" si="14"/>
        <v>1291040000</v>
      </c>
      <c r="I34" s="5">
        <f t="shared" si="14"/>
        <v>782952000</v>
      </c>
      <c r="J34" s="5">
        <f t="shared" si="14"/>
        <v>512730000</v>
      </c>
      <c r="K34" s="5">
        <f t="shared" si="15"/>
        <v>5246897000</v>
      </c>
      <c r="M34" t="s">
        <v>16</v>
      </c>
      <c r="N34" s="10">
        <v>0.2442975228847562</v>
      </c>
      <c r="O34" s="9">
        <v>2592.0148188545218</v>
      </c>
    </row>
    <row r="35" spans="1:15" x14ac:dyDescent="0.2">
      <c r="A35" t="s">
        <v>13</v>
      </c>
      <c r="B35" t="s">
        <v>25</v>
      </c>
      <c r="C35" s="5">
        <f t="shared" si="12"/>
        <v>408029999.99999994</v>
      </c>
      <c r="D35" s="5">
        <f t="shared" si="14"/>
        <v>315503000</v>
      </c>
      <c r="E35" s="5">
        <f t="shared" si="14"/>
        <v>44020000</v>
      </c>
      <c r="F35" s="5">
        <f t="shared" si="14"/>
        <v>961740000</v>
      </c>
      <c r="G35" s="5">
        <f t="shared" si="14"/>
        <v>725835000</v>
      </c>
      <c r="H35" s="5">
        <f t="shared" si="14"/>
        <v>580968000</v>
      </c>
      <c r="I35" s="5">
        <f t="shared" si="14"/>
        <v>391476000</v>
      </c>
      <c r="J35" s="5">
        <f t="shared" si="14"/>
        <v>37980000</v>
      </c>
      <c r="K35" s="5">
        <f t="shared" si="15"/>
        <v>3465552000</v>
      </c>
      <c r="M35" t="s">
        <v>17</v>
      </c>
      <c r="N35" s="10">
        <v>0.2</v>
      </c>
      <c r="O35" s="9">
        <v>4150.8491532593544</v>
      </c>
    </row>
    <row r="36" spans="1:15" x14ac:dyDescent="0.2">
      <c r="A36" t="s">
        <v>26</v>
      </c>
      <c r="B36" t="s">
        <v>25</v>
      </c>
      <c r="C36" s="5">
        <f t="shared" si="12"/>
        <v>4196880000</v>
      </c>
      <c r="D36" s="5">
        <f t="shared" si="14"/>
        <v>5048048000</v>
      </c>
      <c r="E36" s="5">
        <f t="shared" si="14"/>
        <v>4005820000</v>
      </c>
      <c r="F36" s="5">
        <f t="shared" si="14"/>
        <v>6091020000</v>
      </c>
      <c r="G36" s="5">
        <f t="shared" si="14"/>
        <v>4423485000</v>
      </c>
      <c r="H36" s="5">
        <f t="shared" si="14"/>
        <v>7229824000</v>
      </c>
      <c r="I36" s="5">
        <f t="shared" si="14"/>
        <v>4835879999.999999</v>
      </c>
      <c r="J36" s="5">
        <f t="shared" si="14"/>
        <v>3361230000</v>
      </c>
      <c r="K36" s="5">
        <f t="shared" si="15"/>
        <v>39192187000</v>
      </c>
      <c r="M36" t="s">
        <v>4</v>
      </c>
      <c r="N36" s="10">
        <v>0.2</v>
      </c>
      <c r="O36" s="9">
        <v>1991.5275855338266</v>
      </c>
    </row>
    <row r="37" spans="1:15" x14ac:dyDescent="0.2">
      <c r="M37" t="s">
        <v>13</v>
      </c>
      <c r="N37" s="10">
        <v>0.2</v>
      </c>
      <c r="O37" s="9">
        <v>1224.2234706755398</v>
      </c>
    </row>
    <row r="38" spans="1:15" x14ac:dyDescent="0.2">
      <c r="A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 t="s">
        <v>36</v>
      </c>
      <c r="K38" t="s">
        <v>26</v>
      </c>
    </row>
    <row r="39" spans="1:15" x14ac:dyDescent="0.2">
      <c r="A39" t="s">
        <v>14</v>
      </c>
      <c r="C39" s="5">
        <f t="shared" ref="C39:K39" si="16">C21/1000000000</f>
        <v>1.4347685627081017</v>
      </c>
      <c r="D39" s="5">
        <f t="shared" si="16"/>
        <v>4.2878688936877065</v>
      </c>
      <c r="E39" s="5">
        <f t="shared" si="16"/>
        <v>0.17108540712920534</v>
      </c>
      <c r="F39" s="5">
        <f t="shared" si="16"/>
        <v>1.5783663759427575</v>
      </c>
      <c r="G39" s="5">
        <f t="shared" si="16"/>
        <v>1.4668484948688711</v>
      </c>
      <c r="H39" s="5">
        <f t="shared" si="16"/>
        <v>3.3142956174636184</v>
      </c>
      <c r="I39" s="5">
        <f t="shared" si="16"/>
        <v>3.7208204830917877</v>
      </c>
      <c r="J39" s="5">
        <f t="shared" si="16"/>
        <v>0.9476422091782285</v>
      </c>
      <c r="K39" s="5">
        <f t="shared" si="16"/>
        <v>16.921696044070277</v>
      </c>
    </row>
    <row r="40" spans="1:15" x14ac:dyDescent="0.2">
      <c r="A40" t="s">
        <v>15</v>
      </c>
      <c r="C40" s="5">
        <f t="shared" ref="C40:K40" si="17">C22/1000000000</f>
        <v>0.50216899694783568</v>
      </c>
      <c r="D40" s="5">
        <f t="shared" si="17"/>
        <v>1.6198615820598006</v>
      </c>
      <c r="E40" s="5">
        <f t="shared" si="17"/>
        <v>0.47048486960531466</v>
      </c>
      <c r="F40" s="5">
        <f t="shared" si="17"/>
        <v>1.9979321214465287E-2</v>
      </c>
      <c r="G40" s="5">
        <f t="shared" si="17"/>
        <v>0.24082587229190422</v>
      </c>
      <c r="H40" s="5">
        <f t="shared" si="17"/>
        <v>0.72500216632016645</v>
      </c>
      <c r="I40" s="5">
        <f t="shared" si="17"/>
        <v>0.62013674718196465</v>
      </c>
      <c r="J40" s="5">
        <f t="shared" si="17"/>
        <v>0.42796744930629677</v>
      </c>
      <c r="K40" s="5">
        <f t="shared" si="17"/>
        <v>4.6264270049277476</v>
      </c>
    </row>
    <row r="41" spans="1:15" x14ac:dyDescent="0.2">
      <c r="A41" t="s">
        <v>16</v>
      </c>
      <c r="C41" s="5">
        <f t="shared" ref="C41:K41" si="18">C23/1000000000</f>
        <v>0.93259956576026615</v>
      </c>
      <c r="D41" s="5">
        <f t="shared" si="18"/>
        <v>1.0005027418604651</v>
      </c>
      <c r="E41" s="5">
        <f t="shared" si="18"/>
        <v>0.47048486960531466</v>
      </c>
      <c r="F41" s="5">
        <f t="shared" si="18"/>
        <v>3.2366500367433764</v>
      </c>
      <c r="G41" s="5">
        <f t="shared" si="18"/>
        <v>1.4449552337514255</v>
      </c>
      <c r="H41" s="5">
        <f t="shared" si="18"/>
        <v>1.5535760706860708</v>
      </c>
      <c r="I41" s="5">
        <f t="shared" si="18"/>
        <v>1.05423247020934</v>
      </c>
      <c r="J41" s="5">
        <f t="shared" si="18"/>
        <v>0.91707310565635014</v>
      </c>
      <c r="K41" s="5">
        <f t="shared" si="18"/>
        <v>10.61007409427261</v>
      </c>
    </row>
    <row r="42" spans="1:15" x14ac:dyDescent="0.2">
      <c r="A42" t="s">
        <v>17</v>
      </c>
      <c r="C42" s="5">
        <f t="shared" ref="C42:K42" si="19">C24/1000000000</f>
        <v>1.3630301345726967</v>
      </c>
      <c r="D42" s="5">
        <f t="shared" si="19"/>
        <v>3.0967942009966776</v>
      </c>
      <c r="E42" s="5">
        <f t="shared" si="19"/>
        <v>2.7373665140672854</v>
      </c>
      <c r="F42" s="5">
        <f t="shared" si="19"/>
        <v>2.0179114426609939</v>
      </c>
      <c r="G42" s="5">
        <f t="shared" si="19"/>
        <v>1.8390339338654507</v>
      </c>
      <c r="H42" s="5">
        <f t="shared" si="19"/>
        <v>3.0035804033264042</v>
      </c>
      <c r="I42" s="5">
        <f t="shared" si="19"/>
        <v>4.4649845797101451</v>
      </c>
      <c r="J42" s="5">
        <f t="shared" si="19"/>
        <v>2.2315445570971182</v>
      </c>
      <c r="K42" s="5">
        <f t="shared" si="19"/>
        <v>20.754245766296773</v>
      </c>
    </row>
    <row r="43" spans="1:15" x14ac:dyDescent="0.2">
      <c r="A43" t="s">
        <v>4</v>
      </c>
      <c r="C43" s="5">
        <f t="shared" ref="C43:K43" si="20">C25/1000000000</f>
        <v>0.43043056881243058</v>
      </c>
      <c r="D43" s="5">
        <f t="shared" si="20"/>
        <v>2.1439344468438533</v>
      </c>
      <c r="E43" s="5">
        <f t="shared" si="20"/>
        <v>0</v>
      </c>
      <c r="F43" s="5">
        <f t="shared" si="20"/>
        <v>1.4584904486559658</v>
      </c>
      <c r="G43" s="5">
        <f t="shared" si="20"/>
        <v>0.91951696693272533</v>
      </c>
      <c r="H43" s="5">
        <f t="shared" si="20"/>
        <v>2.0714347609147614</v>
      </c>
      <c r="I43" s="5">
        <f t="shared" si="20"/>
        <v>2.1084649404186799</v>
      </c>
      <c r="J43" s="5">
        <f t="shared" si="20"/>
        <v>0.82536579509071517</v>
      </c>
      <c r="K43" s="5">
        <f t="shared" si="20"/>
        <v>9.9576379276691327</v>
      </c>
    </row>
    <row r="44" spans="1:15" x14ac:dyDescent="0.2">
      <c r="A44" t="s">
        <v>13</v>
      </c>
      <c r="C44" s="5">
        <f t="shared" ref="C44:K44" si="21">C26/1000000000</f>
        <v>0.50216899694783568</v>
      </c>
      <c r="D44" s="5">
        <f t="shared" si="21"/>
        <v>0.80993079102990029</v>
      </c>
      <c r="E44" s="5">
        <f t="shared" si="21"/>
        <v>4.2771351782301334E-2</v>
      </c>
      <c r="F44" s="5">
        <f t="shared" si="21"/>
        <v>1.5583870547282923</v>
      </c>
      <c r="G44" s="5">
        <f t="shared" si="21"/>
        <v>1.1603428392246293</v>
      </c>
      <c r="H44" s="5">
        <f t="shared" si="21"/>
        <v>0.93214564241164255</v>
      </c>
      <c r="I44" s="5">
        <f t="shared" si="21"/>
        <v>1.05423247020934</v>
      </c>
      <c r="J44" s="5">
        <f t="shared" si="21"/>
        <v>6.1138207043756679E-2</v>
      </c>
      <c r="K44" s="5">
        <f t="shared" si="21"/>
        <v>6.1211173533776977</v>
      </c>
    </row>
    <row r="45" spans="1:15" x14ac:dyDescent="0.2">
      <c r="A45" t="s">
        <v>26</v>
      </c>
      <c r="C45" s="5">
        <f t="shared" ref="C45:K45" si="22">C27/1000000000</f>
        <v>5.1651668257491679</v>
      </c>
      <c r="D45" s="5">
        <f t="shared" si="22"/>
        <v>12.958892656478405</v>
      </c>
      <c r="E45" s="5">
        <f t="shared" si="22"/>
        <v>3.8921930121894217</v>
      </c>
      <c r="F45" s="5">
        <f t="shared" si="22"/>
        <v>9.86978467994585</v>
      </c>
      <c r="G45" s="5">
        <f t="shared" si="22"/>
        <v>7.0715233409350065</v>
      </c>
      <c r="H45" s="5">
        <f t="shared" si="22"/>
        <v>11.600034661122663</v>
      </c>
      <c r="I45" s="5">
        <f t="shared" si="22"/>
        <v>13.022871690821255</v>
      </c>
      <c r="J45" s="5">
        <f t="shared" si="22"/>
        <v>5.410731323372465</v>
      </c>
      <c r="K45" s="5">
        <f t="shared" si="22"/>
        <v>68.991198190614242</v>
      </c>
    </row>
    <row r="48" spans="1:15" x14ac:dyDescent="0.2">
      <c r="A48" t="s">
        <v>37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 t="s">
        <v>36</v>
      </c>
    </row>
    <row r="49" spans="1:10" x14ac:dyDescent="0.2">
      <c r="A49" t="s">
        <v>14</v>
      </c>
      <c r="C49" s="5">
        <f t="shared" ref="C49:C55" si="23">C2*C$11</f>
        <v>5391231.9644839065</v>
      </c>
      <c r="D49" s="5">
        <f t="shared" ref="D49:J49" si="24">D2*D$11</f>
        <v>55492026.578073084</v>
      </c>
      <c r="E49" s="5">
        <f t="shared" si="24"/>
        <v>2759442.0504710539</v>
      </c>
      <c r="F49" s="5">
        <f t="shared" si="24"/>
        <v>18837168.826145813</v>
      </c>
      <c r="G49" s="5">
        <f t="shared" si="24"/>
        <v>52312713.797035359</v>
      </c>
      <c r="H49" s="5">
        <f t="shared" si="24"/>
        <v>107362993.76299378</v>
      </c>
      <c r="I49" s="5">
        <f t="shared" si="24"/>
        <v>37082125.603864737</v>
      </c>
      <c r="J49" s="5">
        <f t="shared" si="24"/>
        <v>20942369.26360726</v>
      </c>
    </row>
    <row r="50" spans="1:10" x14ac:dyDescent="0.2">
      <c r="A50" t="s">
        <v>15</v>
      </c>
      <c r="C50" s="5">
        <f t="shared" si="23"/>
        <v>1886931.1875693672</v>
      </c>
      <c r="D50" s="5">
        <f t="shared" ref="D50:J55" si="25">D3*D$11</f>
        <v>20963654.485049833</v>
      </c>
      <c r="E50" s="5">
        <f t="shared" si="25"/>
        <v>7588465.6387953982</v>
      </c>
      <c r="F50" s="5">
        <f t="shared" si="25"/>
        <v>238445.17501450397</v>
      </c>
      <c r="G50" s="5">
        <f t="shared" si="25"/>
        <v>8588654.5039908793</v>
      </c>
      <c r="H50" s="5">
        <f t="shared" si="25"/>
        <v>23485654.885654889</v>
      </c>
      <c r="I50" s="5">
        <f t="shared" si="25"/>
        <v>6180354.2673107898</v>
      </c>
      <c r="J50" s="5">
        <f t="shared" si="25"/>
        <v>9457844.1835645698</v>
      </c>
    </row>
    <row r="51" spans="1:10" x14ac:dyDescent="0.2">
      <c r="A51" t="s">
        <v>16</v>
      </c>
      <c r="C51" s="5">
        <f t="shared" si="23"/>
        <v>3504300.7769145388</v>
      </c>
      <c r="D51" s="5">
        <f t="shared" si="25"/>
        <v>12948139.534883721</v>
      </c>
      <c r="E51" s="5">
        <f t="shared" si="25"/>
        <v>7588465.6387953982</v>
      </c>
      <c r="F51" s="5">
        <f t="shared" si="25"/>
        <v>38628118.352349639</v>
      </c>
      <c r="G51" s="5">
        <f t="shared" si="25"/>
        <v>51531927.023945279</v>
      </c>
      <c r="H51" s="5">
        <f t="shared" si="25"/>
        <v>50326403.326403327</v>
      </c>
      <c r="I51" s="5">
        <f t="shared" si="25"/>
        <v>10506602.254428344</v>
      </c>
      <c r="J51" s="5">
        <f t="shared" si="25"/>
        <v>20266808.964781217</v>
      </c>
    </row>
    <row r="52" spans="1:10" x14ac:dyDescent="0.2">
      <c r="A52" t="s">
        <v>17</v>
      </c>
      <c r="C52" s="5">
        <f t="shared" si="23"/>
        <v>5121670.3662597109</v>
      </c>
      <c r="D52" s="5">
        <f t="shared" si="25"/>
        <v>40077574.750830561</v>
      </c>
      <c r="E52" s="5">
        <f t="shared" si="25"/>
        <v>44151072.807536863</v>
      </c>
      <c r="F52" s="5">
        <f t="shared" si="25"/>
        <v>24082962.6764649</v>
      </c>
      <c r="G52" s="5">
        <f t="shared" si="25"/>
        <v>65586088.939566717</v>
      </c>
      <c r="H52" s="5">
        <f t="shared" si="25"/>
        <v>97297713.097713113</v>
      </c>
      <c r="I52" s="5">
        <f t="shared" si="25"/>
        <v>44498550.72463768</v>
      </c>
      <c r="J52" s="5">
        <f t="shared" si="25"/>
        <v>49315901.814300962</v>
      </c>
    </row>
    <row r="53" spans="1:10" x14ac:dyDescent="0.2">
      <c r="A53" t="s">
        <v>4</v>
      </c>
      <c r="C53" s="5">
        <f t="shared" si="23"/>
        <v>1617369.5893451718</v>
      </c>
      <c r="D53" s="5">
        <f t="shared" si="25"/>
        <v>27746013.289036542</v>
      </c>
      <c r="E53" s="5">
        <f t="shared" si="25"/>
        <v>0</v>
      </c>
      <c r="F53" s="5">
        <f t="shared" si="25"/>
        <v>17406497.776058789</v>
      </c>
      <c r="G53" s="5">
        <f t="shared" si="25"/>
        <v>32793044.469783358</v>
      </c>
      <c r="H53" s="5">
        <f t="shared" si="25"/>
        <v>67101871.10187111</v>
      </c>
      <c r="I53" s="5">
        <f t="shared" si="25"/>
        <v>21013204.508856688</v>
      </c>
      <c r="J53" s="5">
        <f t="shared" si="25"/>
        <v>18240128.068303097</v>
      </c>
    </row>
    <row r="54" spans="1:10" x14ac:dyDescent="0.2">
      <c r="A54" t="s">
        <v>13</v>
      </c>
      <c r="C54" s="5">
        <f t="shared" si="23"/>
        <v>1886931.1875693672</v>
      </c>
      <c r="D54" s="5">
        <f t="shared" si="25"/>
        <v>10481827.242524916</v>
      </c>
      <c r="E54" s="5">
        <f t="shared" si="25"/>
        <v>689860.51261776348</v>
      </c>
      <c r="F54" s="5">
        <f t="shared" si="25"/>
        <v>18598723.65113131</v>
      </c>
      <c r="G54" s="5">
        <f t="shared" si="25"/>
        <v>41381698.973774232</v>
      </c>
      <c r="H54" s="5">
        <f t="shared" si="25"/>
        <v>30195841.995841999</v>
      </c>
      <c r="I54" s="5">
        <f t="shared" si="25"/>
        <v>10506602.254428344</v>
      </c>
      <c r="J54" s="5">
        <f t="shared" si="25"/>
        <v>1351120.5976520812</v>
      </c>
    </row>
    <row r="55" spans="1:10" x14ac:dyDescent="0.2">
      <c r="A55" t="s">
        <v>26</v>
      </c>
      <c r="C55" s="5">
        <f t="shared" si="23"/>
        <v>19408435.072142065</v>
      </c>
      <c r="D55" s="5">
        <f t="shared" si="25"/>
        <v>167709235.88039866</v>
      </c>
      <c r="E55" s="5">
        <f t="shared" si="25"/>
        <v>62777306.648216479</v>
      </c>
      <c r="F55" s="5">
        <f t="shared" si="25"/>
        <v>117791916.45716496</v>
      </c>
      <c r="G55" s="5">
        <f t="shared" si="25"/>
        <v>252194127.70809582</v>
      </c>
      <c r="H55" s="5">
        <f t="shared" si="25"/>
        <v>375770478.17047822</v>
      </c>
      <c r="I55" s="5">
        <f t="shared" si="25"/>
        <v>129787439.61352657</v>
      </c>
      <c r="J55" s="5">
        <f t="shared" si="25"/>
        <v>119574172.89220919</v>
      </c>
    </row>
    <row r="56" spans="1:10" x14ac:dyDescent="0.2">
      <c r="A56" t="s">
        <v>41</v>
      </c>
      <c r="C56" s="5">
        <f>C55/C12</f>
        <v>1.6757965141090014</v>
      </c>
      <c r="D56" s="5">
        <f t="shared" ref="D56:J56" si="26">D55/D12</f>
        <v>29.554178686742194</v>
      </c>
      <c r="E56" s="5">
        <f t="shared" si="26"/>
        <v>16.815405545951307</v>
      </c>
      <c r="F56" s="5">
        <f t="shared" si="26"/>
        <v>29.517337478030242</v>
      </c>
      <c r="G56" s="5">
        <f t="shared" si="26"/>
        <v>15.422305374510898</v>
      </c>
      <c r="H56" s="5">
        <f t="shared" si="26"/>
        <v>160.98262732056318</v>
      </c>
      <c r="I56" s="5">
        <f t="shared" si="26"/>
        <v>11.816077394013874</v>
      </c>
      <c r="J56" s="5">
        <f t="shared" si="26"/>
        <v>53.237372378443283</v>
      </c>
    </row>
    <row r="67" spans="1:6" x14ac:dyDescent="0.2">
      <c r="A67" t="s">
        <v>58</v>
      </c>
      <c r="B67" t="s">
        <v>63</v>
      </c>
      <c r="C67" t="s">
        <v>60</v>
      </c>
      <c r="D67" t="s">
        <v>59</v>
      </c>
      <c r="E67" t="s">
        <v>61</v>
      </c>
      <c r="F67" t="s">
        <v>62</v>
      </c>
    </row>
    <row r="68" spans="1:6" x14ac:dyDescent="0.2">
      <c r="A68" t="s">
        <v>29</v>
      </c>
      <c r="B68">
        <v>266.13</v>
      </c>
      <c r="C68">
        <v>11.092000000000001</v>
      </c>
      <c r="D68" s="11">
        <v>0.66407000000000005</v>
      </c>
      <c r="E68">
        <v>0.1</v>
      </c>
      <c r="F68" s="5">
        <f>B68*E68*D68/C68</f>
        <v>1.5933010196538044</v>
      </c>
    </row>
    <row r="69" spans="1:6" x14ac:dyDescent="0.2">
      <c r="A69" t="s">
        <v>30</v>
      </c>
      <c r="B69">
        <v>77.27</v>
      </c>
      <c r="C69">
        <v>5.6749999999999998</v>
      </c>
      <c r="D69" s="11">
        <v>0.48870000000000002</v>
      </c>
      <c r="E69">
        <v>0.1</v>
      </c>
      <c r="F69" s="5">
        <f t="shared" ref="F69:F75" si="27">B69*E69*D69/C69</f>
        <v>0.66540703083700448</v>
      </c>
    </row>
    <row r="70" spans="1:6" x14ac:dyDescent="0.2">
      <c r="A70" t="s">
        <v>31</v>
      </c>
      <c r="B70">
        <v>62</v>
      </c>
      <c r="C70">
        <v>8.4939999999999998</v>
      </c>
      <c r="D70" s="11">
        <v>0.59909999999999997</v>
      </c>
      <c r="E70">
        <v>0.1</v>
      </c>
      <c r="F70" s="5">
        <f t="shared" si="27"/>
        <v>0.43729927007299274</v>
      </c>
    </row>
    <row r="71" spans="1:6" x14ac:dyDescent="0.2">
      <c r="A71" t="s">
        <v>32</v>
      </c>
      <c r="B71">
        <v>83.79</v>
      </c>
      <c r="C71">
        <v>6.6959999999999997</v>
      </c>
      <c r="D71" s="11">
        <v>1.149</v>
      </c>
      <c r="E71">
        <v>0.1</v>
      </c>
      <c r="F71" s="5">
        <f t="shared" si="27"/>
        <v>1.43779435483871</v>
      </c>
    </row>
    <row r="72" spans="1:6" x14ac:dyDescent="0.2">
      <c r="A72" t="s">
        <v>33</v>
      </c>
      <c r="B72">
        <v>28.04</v>
      </c>
      <c r="C72">
        <v>10.949</v>
      </c>
      <c r="D72" s="11">
        <v>0.54330000000000001</v>
      </c>
      <c r="E72">
        <v>0.1</v>
      </c>
      <c r="F72" s="5">
        <f t="shared" si="27"/>
        <v>0.13913719974426891</v>
      </c>
    </row>
    <row r="73" spans="1:6" x14ac:dyDescent="0.2">
      <c r="A73" t="s">
        <v>34</v>
      </c>
      <c r="B73">
        <v>30.87</v>
      </c>
      <c r="C73">
        <v>5.0190000000000001</v>
      </c>
      <c r="D73" s="11">
        <v>0.50239999999999996</v>
      </c>
      <c r="E73">
        <v>0.1</v>
      </c>
      <c r="F73" s="5">
        <f t="shared" si="27"/>
        <v>0.30900753138075315</v>
      </c>
    </row>
    <row r="74" spans="1:6" x14ac:dyDescent="0.2">
      <c r="A74" t="s">
        <v>35</v>
      </c>
      <c r="B74">
        <v>100.34</v>
      </c>
      <c r="C74">
        <v>25.129000000000001</v>
      </c>
      <c r="D74" s="11">
        <v>0.523482</v>
      </c>
      <c r="E74">
        <v>0.1</v>
      </c>
      <c r="F74" s="5">
        <f t="shared" si="27"/>
        <v>0.20902616053165665</v>
      </c>
    </row>
    <row r="75" spans="1:6" x14ac:dyDescent="0.2">
      <c r="A75" t="s">
        <v>36</v>
      </c>
      <c r="B75">
        <v>45.25</v>
      </c>
      <c r="C75">
        <v>2.9729999999999999</v>
      </c>
      <c r="D75" s="11">
        <v>0.44700000000000001</v>
      </c>
      <c r="E75">
        <v>0.1</v>
      </c>
      <c r="F75" s="5">
        <f t="shared" si="27"/>
        <v>0.68034813319878917</v>
      </c>
    </row>
    <row r="76" spans="1:6" x14ac:dyDescent="0.2">
      <c r="E76">
        <f>GEOMEAN(E68:E75)</f>
        <v>0.1</v>
      </c>
    </row>
    <row r="80" spans="1:6" x14ac:dyDescent="0.2">
      <c r="A80" t="s">
        <v>64</v>
      </c>
      <c r="B80" t="s">
        <v>65</v>
      </c>
      <c r="C80" t="s">
        <v>66</v>
      </c>
      <c r="D80" t="s">
        <v>67</v>
      </c>
    </row>
    <row r="81" spans="1:2" x14ac:dyDescent="0.2">
      <c r="A81">
        <v>1</v>
      </c>
      <c r="B81">
        <v>6802</v>
      </c>
    </row>
    <row r="82" spans="1:2" x14ac:dyDescent="0.2">
      <c r="A82">
        <v>2</v>
      </c>
      <c r="B82">
        <v>5236</v>
      </c>
    </row>
    <row r="83" spans="1:2" x14ac:dyDescent="0.2">
      <c r="A83">
        <v>3</v>
      </c>
      <c r="B83">
        <v>4613</v>
      </c>
    </row>
    <row r="84" spans="1:2" x14ac:dyDescent="0.2">
      <c r="A84">
        <v>4</v>
      </c>
      <c r="B84">
        <v>4282</v>
      </c>
    </row>
    <row r="85" spans="1:2" x14ac:dyDescent="0.2">
      <c r="A85">
        <v>5</v>
      </c>
      <c r="B85">
        <v>4076</v>
      </c>
    </row>
    <row r="86" spans="1:2" x14ac:dyDescent="0.2">
      <c r="A86">
        <v>6</v>
      </c>
      <c r="B86">
        <v>3937</v>
      </c>
    </row>
    <row r="87" spans="1:2" x14ac:dyDescent="0.2">
      <c r="A87">
        <v>7</v>
      </c>
      <c r="B87">
        <v>3836</v>
      </c>
    </row>
    <row r="88" spans="1:2" x14ac:dyDescent="0.2">
      <c r="A88">
        <v>8</v>
      </c>
      <c r="B88">
        <v>3760</v>
      </c>
    </row>
    <row r="89" spans="1:2" x14ac:dyDescent="0.2">
      <c r="A89">
        <v>9</v>
      </c>
      <c r="B89">
        <v>3700</v>
      </c>
    </row>
    <row r="90" spans="1:2" x14ac:dyDescent="0.2">
      <c r="A90">
        <v>10</v>
      </c>
      <c r="B90">
        <v>3651</v>
      </c>
    </row>
    <row r="91" spans="1:2" x14ac:dyDescent="0.2">
      <c r="A91">
        <v>11</v>
      </c>
    </row>
    <row r="92" spans="1:2" x14ac:dyDescent="0.2">
      <c r="A92">
        <v>12</v>
      </c>
    </row>
    <row r="93" spans="1:2" x14ac:dyDescent="0.2">
      <c r="A93">
        <v>13</v>
      </c>
    </row>
    <row r="94" spans="1:2" x14ac:dyDescent="0.2">
      <c r="A94">
        <v>14</v>
      </c>
    </row>
    <row r="95" spans="1:2" x14ac:dyDescent="0.2">
      <c r="A95">
        <v>15</v>
      </c>
    </row>
    <row r="96" spans="1:2" x14ac:dyDescent="0.2">
      <c r="A96">
        <v>16</v>
      </c>
    </row>
    <row r="97" spans="1:1" x14ac:dyDescent="0.2">
      <c r="A97">
        <v>17</v>
      </c>
    </row>
    <row r="98" spans="1:1" x14ac:dyDescent="0.2">
      <c r="A98">
        <v>18</v>
      </c>
    </row>
    <row r="99" spans="1:1" x14ac:dyDescent="0.2">
      <c r="A99">
        <v>19</v>
      </c>
    </row>
    <row r="100" spans="1:1" x14ac:dyDescent="0.2">
      <c r="A100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0f54a0-cfe6-4f3a-8d7b-e2426f2820b4}" enabled="0" method="" siteId="{2a0f54a0-cfe6-4f3a-8d7b-e2426f2820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Holdings</vt:lpstr>
    </vt:vector>
  </TitlesOfParts>
  <Company>Mazars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Pink</dc:creator>
  <cp:lastModifiedBy>Thomas Pink</cp:lastModifiedBy>
  <dcterms:created xsi:type="dcterms:W3CDTF">2025-07-21T10:01:16Z</dcterms:created>
  <dcterms:modified xsi:type="dcterms:W3CDTF">2025-08-17T01:18:30Z</dcterms:modified>
</cp:coreProperties>
</file>